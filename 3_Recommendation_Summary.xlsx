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 Summary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F6B7A"/>
    </font>
    <font>
      <b val="1"/>
      <color rgb="00FFFFFF"/>
    </font>
    <font>
      <b val="1"/>
    </font>
    <font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C9D1DA"/>
      </left>
      <right style="thin">
        <color rgb="00C9D1DA"/>
      </right>
      <top style="thin">
        <color rgb="00C9D1DA"/>
      </top>
      <bottom style="thin">
        <color rgb="00C9D1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164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26" customWidth="1" min="3" max="3"/>
    <col width="48" customWidth="1" min="4" max="4"/>
    <col width="18" customWidth="1" min="5" max="5"/>
    <col width="32" customWidth="1" min="6" max="6"/>
    <col width="24" customWidth="1" min="7" max="7"/>
    <col width="13" customWidth="1" min="8" max="8"/>
  </cols>
  <sheetData>
    <row r="1">
      <c r="A1" s="1" t="inlineStr">
        <is>
          <t>Recommendation Summary Sheet – Global Superstore</t>
        </is>
      </c>
    </row>
    <row r="2">
      <c r="A2" s="2" t="inlineStr">
        <is>
          <t>Business problem: sales are growing (+90% 2014→2017) but profit margin is stuck at ~11.7%. Root cause: deep discounting, loss-making regions and weak Furniture economics.</t>
        </is>
      </c>
    </row>
    <row r="4" ht="30" customHeight="1">
      <c r="A4" s="3" t="inlineStr">
        <is>
          <t>Priority</t>
        </is>
      </c>
      <c r="B4" s="3" t="inlineStr">
        <is>
          <t>Recommendation</t>
        </is>
      </c>
      <c r="C4" s="3" t="inlineStr">
        <is>
          <t>Business issue addressed</t>
        </is>
      </c>
      <c r="D4" s="3" t="inlineStr">
        <is>
          <t>Supporting evidence (Power BI)</t>
        </is>
      </c>
      <c r="E4" s="3" t="inlineStr">
        <is>
          <t>Estimated profit impact ($)</t>
        </is>
      </c>
      <c r="F4" s="3" t="inlineStr">
        <is>
          <t>KPI and target</t>
        </is>
      </c>
      <c r="G4" s="3" t="inlineStr">
        <is>
          <t>Suggested owner</t>
        </is>
      </c>
      <c r="H4" s="3" t="inlineStr">
        <is>
          <t>Timeline</t>
        </is>
      </c>
    </row>
    <row r="5" ht="62" customHeight="1">
      <c r="A5" s="4" t="n">
        <v>1</v>
      </c>
      <c r="B5" s="4" t="inlineStr">
        <is>
          <t>Introduce a discount policy: manager approval above 20%, hard cap at 30%.</t>
        </is>
      </c>
      <c r="C5" s="4" t="inlineStr">
        <is>
          <t>Discount-driven margin erosion</t>
        </is>
      </c>
      <c r="D5" s="4" t="inlineStr">
        <is>
          <t>Lines with discount &gt;20%: $1.93M sales, −$815K profit; no-discount margin 25.3% vs 11.6% overall</t>
        </is>
      </c>
      <c r="E5" s="5" t="n">
        <v>815000</v>
      </c>
      <c r="F5" s="4" t="inlineStr">
        <is>
          <t>Average discount ≤ 12%; profit margin ≥ 14%</t>
        </is>
      </c>
      <c r="G5" s="4" t="inlineStr">
        <is>
          <t>Sales Director / Finance</t>
        </is>
      </c>
      <c r="H5" s="4" t="inlineStr">
        <is>
          <t>0–3 months</t>
        </is>
      </c>
    </row>
    <row r="6" ht="62" customHeight="1">
      <c r="A6" s="6" t="n">
        <v>2</v>
      </c>
      <c r="B6" s="6" t="inlineStr">
        <is>
          <t>Turn around Western Asia, Western Africa and Central Asia: re-price, stop deep discounts, review product mix.</t>
        </is>
      </c>
      <c r="C6" s="6" t="inlineStr">
        <is>
          <t>Loss-making regions</t>
        </is>
      </c>
      <c r="D6" s="6" t="inlineStr">
        <is>
          <t>Profit −$53.9K, −$50.4K, −$7.3K (combined −$111.6K); average discount 35–43%</t>
        </is>
      </c>
      <c r="E6" s="7" t="n">
        <v>111600</v>
      </c>
      <c r="F6" s="6" t="inlineStr">
        <is>
          <t>Regional profit ≥ 0</t>
        </is>
      </c>
      <c r="G6" s="6" t="inlineStr">
        <is>
          <t>Regional Managers</t>
        </is>
      </c>
      <c r="H6" s="6" t="inlineStr">
        <is>
          <t>3–6 months</t>
        </is>
      </c>
    </row>
    <row r="7" ht="62" customHeight="1">
      <c r="A7" s="4" t="n">
        <v>3</v>
      </c>
      <c r="B7" s="4" t="inlineStr">
        <is>
          <t>Re-price Furniture; stop discounting Tables; renegotiate supplier costs.</t>
        </is>
      </c>
      <c r="C7" s="4" t="inlineStr">
        <is>
          <t>Weak Furniture / Tables economics</t>
        </is>
      </c>
      <c r="D7" s="4" t="inlineStr">
        <is>
          <t>Furniture margin 6.9% vs 13.7–14.0% elsewhere; Tables −$64.1K at 29% discount</t>
        </is>
      </c>
      <c r="E7" s="5" t="n">
        <v>64000</v>
      </c>
      <c r="F7" s="4" t="inlineStr">
        <is>
          <t>Furniture margin ≥ 10%; Tables profit ≥ 0</t>
        </is>
      </c>
      <c r="G7" s="4" t="inlineStr">
        <is>
          <t>Category Manager / Procurement</t>
        </is>
      </c>
      <c r="H7" s="4" t="inlineStr">
        <is>
          <t>3–6 months</t>
        </is>
      </c>
    </row>
    <row r="8" ht="62" customHeight="1">
      <c r="A8" s="6" t="n">
        <v>4</v>
      </c>
      <c r="B8" s="6" t="inlineStr">
        <is>
          <t>Focus marketing and sales on Technology and Office Supplies in high-margin regions (W. Europe, E. Asia, S. Asia, Canada).</t>
        </is>
      </c>
      <c r="C8" s="6" t="inlineStr">
        <is>
          <t>Margin mix / growth quality</t>
        </is>
      </c>
      <c r="D8" s="6" t="inlineStr">
        <is>
          <t>Technology + Office Supplies = 81% of profit; E. Asia 19.5%, S. Asia 18.4%, Canada 26.6% margin</t>
        </is>
      </c>
      <c r="E8" s="7" t="inlineStr">
        <is>
          <t>Indirect (higher margin mix)</t>
        </is>
      </c>
      <c r="F8" s="6" t="inlineStr">
        <is>
          <t>Margin by region tracked monthly</t>
        </is>
      </c>
      <c r="G8" s="6" t="inlineStr">
        <is>
          <t>Marketing Head</t>
        </is>
      </c>
      <c r="H8" s="6" t="inlineStr">
        <is>
          <t>6–12 months</t>
        </is>
      </c>
    </row>
    <row r="9" ht="62" customHeight="1">
      <c r="A9" s="4" t="n">
        <v>5</v>
      </c>
      <c r="B9" s="4" t="inlineStr">
        <is>
          <t>Plan inventory and promotions around the Sep–Dec peak; add margin %, discount % and loss-making lines to the monthly scorecard.</t>
        </is>
      </c>
      <c r="C9" s="4" t="inlineStr">
        <is>
          <t>Seasonal dependence; lack of profit KPIs</t>
        </is>
      </c>
      <c r="D9" s="4" t="inlineStr">
        <is>
          <t>45% of sales fall in Sep–Dec; margin 11.0–11.9% every year</t>
        </is>
      </c>
      <c r="E9" s="5" t="inlineStr">
        <is>
          <t>Indirect (higher margin mix)</t>
        </is>
      </c>
      <c r="F9" s="4" t="inlineStr">
        <is>
          <t>Scorecard alerts for negative-profit lines</t>
        </is>
      </c>
      <c r="G9" s="4" t="inlineStr">
        <is>
          <t>BI Team / Operations</t>
        </is>
      </c>
      <c r="H9" s="4" t="inlineStr">
        <is>
          <t>1–3 months</t>
        </is>
      </c>
    </row>
    <row r="10" ht="32" customHeight="1">
      <c r="D10" s="8" t="inlineStr">
        <is>
          <t>Maximum quantified upside = discount loss (items 1–3 overlap, so they are not additive)</t>
        </is>
      </c>
      <c r="E10" s="9">
        <f>E5</f>
        <v/>
      </c>
    </row>
    <row r="11">
      <c r="D11" s="2" t="inlineStr">
        <is>
          <t>Conservative case: half of the discount loss recovered</t>
        </is>
      </c>
      <c r="E11" s="9">
        <f>E5/2</f>
        <v/>
      </c>
    </row>
    <row r="12">
      <c r="D12" s="2" t="inlineStr">
        <is>
          <t>Conservative upside as % of current profit ($1,467,457)</t>
        </is>
      </c>
      <c r="E12" s="10">
        <f>E11/1467457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6" customWidth="1" min="4" max="4"/>
    <col width="14" customWidth="1" min="5" max="5"/>
  </cols>
  <sheetData>
    <row r="1">
      <c r="A1" s="11" t="inlineStr">
        <is>
          <t>Yearly performance</t>
        </is>
      </c>
    </row>
    <row r="2">
      <c r="A2" s="12" t="inlineStr">
        <is>
          <t>Year</t>
        </is>
      </c>
      <c r="B2" s="12" t="inlineStr">
        <is>
          <t>Sales</t>
        </is>
      </c>
      <c r="C2" s="12" t="inlineStr">
        <is>
          <t>Profit</t>
        </is>
      </c>
      <c r="D2" s="12" t="inlineStr">
        <is>
          <t>Orders</t>
        </is>
      </c>
      <c r="E2" s="12" t="inlineStr">
        <is>
          <t>Margin</t>
        </is>
      </c>
    </row>
    <row r="3">
      <c r="A3" s="13" t="n">
        <v>2014</v>
      </c>
      <c r="B3" s="14" t="n">
        <v>2259450.89554</v>
      </c>
      <c r="C3" s="14" t="n">
        <v>248940.81154</v>
      </c>
      <c r="D3" s="15" t="n">
        <v>4515</v>
      </c>
      <c r="E3" s="16" t="n">
        <v>0.1101775710334719</v>
      </c>
    </row>
    <row r="4">
      <c r="A4" s="13" t="n">
        <v>2015</v>
      </c>
      <c r="B4" s="14" t="n">
        <v>2677438.6944</v>
      </c>
      <c r="C4" s="14" t="n">
        <v>307415.2791</v>
      </c>
      <c r="D4" s="15" t="n">
        <v>5473</v>
      </c>
      <c r="E4" s="16" t="n">
        <v>0.1148169254978554</v>
      </c>
    </row>
    <row r="5">
      <c r="A5" s="13" t="n">
        <v>2016</v>
      </c>
      <c r="B5" s="14" t="n">
        <v>3405746.44938</v>
      </c>
      <c r="C5" s="14" t="n">
        <v>406935.23018</v>
      </c>
      <c r="D5" s="15" t="n">
        <v>6883</v>
      </c>
      <c r="E5" s="16" t="n">
        <v>0.1194848871542039</v>
      </c>
    </row>
    <row r="6">
      <c r="A6" s="13" t="n">
        <v>2017</v>
      </c>
      <c r="B6" s="14" t="n">
        <v>4299865.87056</v>
      </c>
      <c r="C6" s="14" t="n">
        <v>504165.97046</v>
      </c>
      <c r="D6" s="15" t="n">
        <v>8857</v>
      </c>
      <c r="E6" s="16" t="n">
        <v>0.1172515575222673</v>
      </c>
    </row>
    <row r="9">
      <c r="A9" s="11" t="inlineStr">
        <is>
          <t>Profit by discount band</t>
        </is>
      </c>
    </row>
    <row r="10">
      <c r="A10" s="12" t="inlineStr">
        <is>
          <t>Discount band</t>
        </is>
      </c>
      <c r="B10" s="12" t="inlineStr">
        <is>
          <t>Sales</t>
        </is>
      </c>
      <c r="C10" s="12" t="inlineStr">
        <is>
          <t>Profit</t>
        </is>
      </c>
      <c r="D10" s="12" t="inlineStr">
        <is>
          <t>Order lines (distinct orders)</t>
        </is>
      </c>
      <c r="E10" s="12" t="inlineStr">
        <is>
          <t>Margin</t>
        </is>
      </c>
    </row>
    <row r="11">
      <c r="A11" s="13" t="inlineStr">
        <is>
          <t>No discount</t>
        </is>
      </c>
      <c r="B11" s="14" t="n">
        <v>6992410.95</v>
      </c>
      <c r="C11" s="14" t="n">
        <v>1770695.2732</v>
      </c>
      <c r="D11" s="15" t="n">
        <v>15574</v>
      </c>
      <c r="E11" s="16" t="n">
        <v>0.2532310079973203</v>
      </c>
    </row>
    <row r="12">
      <c r="A12" s="13" t="inlineStr">
        <is>
          <t>0–20%</t>
        </is>
      </c>
      <c r="B12" s="14" t="n">
        <v>3719880.18078</v>
      </c>
      <c r="C12" s="14" t="n">
        <v>511444.10478</v>
      </c>
      <c r="D12" s="15" t="n">
        <v>7190</v>
      </c>
      <c r="E12" s="16" t="n">
        <v>0.1374894028637122</v>
      </c>
    </row>
    <row r="13">
      <c r="A13" s="13" t="inlineStr">
        <is>
          <t>20–30%</t>
        </is>
      </c>
      <c r="B13" s="14" t="n">
        <v>382554.68928</v>
      </c>
      <c r="C13" s="14" t="n">
        <v>-21155.61312</v>
      </c>
      <c r="D13" s="15" t="n">
        <v>843</v>
      </c>
      <c r="E13" s="16" t="n">
        <v>-0.05530088563236968</v>
      </c>
    </row>
    <row r="14">
      <c r="A14" s="13" t="inlineStr">
        <is>
          <t>30–50%</t>
        </is>
      </c>
      <c r="B14" s="14" t="n">
        <v>1176031.42828</v>
      </c>
      <c r="C14" s="14" t="n">
        <v>-380944.81582</v>
      </c>
      <c r="D14" s="15" t="n">
        <v>3693</v>
      </c>
      <c r="E14" s="16" t="n">
        <v>-0.3239240097325879</v>
      </c>
    </row>
    <row r="15">
      <c r="A15" s="13" t="inlineStr">
        <is>
          <t>&gt;50%</t>
        </is>
      </c>
      <c r="B15" s="14" t="n">
        <v>371624.66154</v>
      </c>
      <c r="C15" s="14" t="n">
        <v>-412581.65776</v>
      </c>
      <c r="D15" s="15" t="n">
        <v>2439</v>
      </c>
      <c r="E15" s="16" t="n">
        <v>-1.110210651925724</v>
      </c>
    </row>
    <row r="18">
      <c r="A18" s="11" t="inlineStr">
        <is>
          <t>Profit by region</t>
        </is>
      </c>
    </row>
    <row r="19">
      <c r="A19" s="12" t="inlineStr">
        <is>
          <t>Region</t>
        </is>
      </c>
      <c r="B19" s="12" t="inlineStr">
        <is>
          <t>Sales</t>
        </is>
      </c>
      <c r="C19" s="12" t="inlineStr">
        <is>
          <t>Profit</t>
        </is>
      </c>
      <c r="D19" s="12" t="inlineStr">
        <is>
          <t>Margin</t>
        </is>
      </c>
      <c r="E19" s="12" t="inlineStr">
        <is>
          <t>Avg discount</t>
        </is>
      </c>
    </row>
    <row r="20">
      <c r="A20" s="13" t="inlineStr">
        <is>
          <t>Western Europe</t>
        </is>
      </c>
      <c r="B20" s="14" t="n">
        <v>1731929.6685</v>
      </c>
      <c r="C20" s="14" t="n">
        <v>218433.5085</v>
      </c>
      <c r="D20" s="16" t="n">
        <v>0.126121465826717</v>
      </c>
      <c r="E20" s="16" t="n">
        <v>0.09038755736868945</v>
      </c>
    </row>
    <row r="21">
      <c r="A21" s="13" t="inlineStr">
        <is>
          <t>Eastern Asia</t>
        </is>
      </c>
      <c r="B21" s="14" t="n">
        <v>855059.3909999999</v>
      </c>
      <c r="C21" s="14" t="n">
        <v>167101.851</v>
      </c>
      <c r="D21" s="16" t="n">
        <v>0.195427186414002</v>
      </c>
      <c r="E21" s="16" t="n">
        <v>0.04797809604043808</v>
      </c>
    </row>
    <row r="22">
      <c r="A22" s="13" t="inlineStr">
        <is>
          <t>Southern Asia</t>
        </is>
      </c>
      <c r="B22" s="14" t="n">
        <v>866572.677</v>
      </c>
      <c r="C22" s="14" t="n">
        <v>159336.427</v>
      </c>
      <c r="D22" s="16" t="n">
        <v>0.1838696640558862</v>
      </c>
      <c r="E22" s="16" t="n">
        <v>0.05205273069679849</v>
      </c>
    </row>
    <row r="23">
      <c r="A23" s="13" t="inlineStr">
        <is>
          <t>Central America</t>
        </is>
      </c>
      <c r="B23" s="14" t="n">
        <v>1223100.62816</v>
      </c>
      <c r="C23" s="14" t="n">
        <v>158981.64816</v>
      </c>
      <c r="D23" s="16" t="n">
        <v>0.1299824760937027</v>
      </c>
      <c r="E23" s="16" t="n">
        <v>0.1097667378917379</v>
      </c>
    </row>
    <row r="24">
      <c r="A24" s="13" t="inlineStr">
        <is>
          <t>Oceania</t>
        </is>
      </c>
      <c r="B24" s="14" t="n">
        <v>1100184.612</v>
      </c>
      <c r="C24" s="14" t="n">
        <v>120089.112</v>
      </c>
      <c r="D24" s="16" t="n">
        <v>0.1091536008503998</v>
      </c>
      <c r="E24" s="16" t="n">
        <v>0.1531689131058216</v>
      </c>
    </row>
    <row r="25">
      <c r="A25" s="13" t="inlineStr">
        <is>
          <t>Western US</t>
        </is>
      </c>
      <c r="B25" s="14" t="n">
        <v>725457.8245</v>
      </c>
      <c r="C25" s="14" t="n">
        <v>108418.4489</v>
      </c>
      <c r="D25" s="16" t="n">
        <v>0.149448314207272</v>
      </c>
      <c r="E25" s="16" t="n">
        <v>0.1093349984389635</v>
      </c>
    </row>
    <row r="26">
      <c r="A26" s="13" t="inlineStr">
        <is>
          <t>Eastern US</t>
        </is>
      </c>
      <c r="B26" s="14" t="n">
        <v>678781.24</v>
      </c>
      <c r="C26" s="14" t="n">
        <v>91522.78</v>
      </c>
      <c r="D26" s="16" t="n">
        <v>0.1348339856888207</v>
      </c>
      <c r="E26" s="16" t="n">
        <v>0.1453651685393259</v>
      </c>
    </row>
    <row r="27">
      <c r="A27" s="13" t="inlineStr">
        <is>
          <t>Northern Europe</t>
        </is>
      </c>
      <c r="B27" s="14" t="n">
        <v>636779.157</v>
      </c>
      <c r="C27" s="14" t="n">
        <v>83923.917</v>
      </c>
      <c r="D27" s="16" t="n">
        <v>0.1317943844069633</v>
      </c>
      <c r="E27" s="16" t="n">
        <v>0.1504990925589837</v>
      </c>
    </row>
    <row r="28">
      <c r="A28" s="13" t="inlineStr">
        <is>
          <t>Eastern Europe</t>
        </is>
      </c>
      <c r="B28" s="14" t="n">
        <v>310033.44</v>
      </c>
      <c r="C28" s="14" t="n">
        <v>77084.88</v>
      </c>
      <c r="D28" s="16" t="n">
        <v>0.2486340828266783</v>
      </c>
      <c r="E28" s="16" t="n">
        <v>0</v>
      </c>
    </row>
    <row r="29">
      <c r="A29" s="13" t="inlineStr">
        <is>
          <t>Southern Europe</t>
        </is>
      </c>
      <c r="B29" s="14" t="n">
        <v>608593.968</v>
      </c>
      <c r="C29" s="14" t="n">
        <v>70109.41800000001</v>
      </c>
      <c r="D29" s="16" t="n">
        <v>0.1151990024324395</v>
      </c>
      <c r="E29" s="16" t="n">
        <v>0.09588263132986276</v>
      </c>
    </row>
    <row r="30">
      <c r="A30" s="13" t="inlineStr">
        <is>
          <t>North Africa</t>
        </is>
      </c>
      <c r="B30" s="14" t="n">
        <v>233216.61</v>
      </c>
      <c r="C30" s="14" t="n">
        <v>57836.25</v>
      </c>
      <c r="D30" s="16" t="n">
        <v>0.2479936999341514</v>
      </c>
      <c r="E30" s="16" t="n">
        <v>0</v>
      </c>
    </row>
    <row r="31">
      <c r="A31" s="13" t="inlineStr">
        <is>
          <t>Southern US</t>
        </is>
      </c>
      <c r="B31" s="14" t="n">
        <v>391721.905</v>
      </c>
      <c r="C31" s="14" t="n">
        <v>46749.4303</v>
      </c>
      <c r="D31" s="16" t="n">
        <v>0.1193434160900448</v>
      </c>
      <c r="E31" s="16" t="n">
        <v>0.1472530864197531</v>
      </c>
    </row>
    <row r="32">
      <c r="A32" s="13" t="inlineStr">
        <is>
          <t>Central US</t>
        </is>
      </c>
      <c r="B32" s="14" t="n">
        <v>501239.8908</v>
      </c>
      <c r="C32" s="14" t="n">
        <v>39706.3625</v>
      </c>
      <c r="D32" s="16" t="n">
        <v>0.07921628591177565</v>
      </c>
      <c r="E32" s="16" t="n">
        <v>0.2403529918209212</v>
      </c>
    </row>
    <row r="33">
      <c r="A33" s="13" t="inlineStr">
        <is>
          <t>Central Africa</t>
        </is>
      </c>
      <c r="B33" s="14" t="n">
        <v>143630.01</v>
      </c>
      <c r="C33" s="14" t="n">
        <v>35383.71</v>
      </c>
      <c r="D33" s="16" t="n">
        <v>0.2463531820404385</v>
      </c>
      <c r="E33" s="16" t="n">
        <v>0</v>
      </c>
    </row>
    <row r="34">
      <c r="A34" s="13" t="inlineStr">
        <is>
          <t>Caribbean</t>
        </is>
      </c>
      <c r="B34" s="14" t="n">
        <v>324280.86104</v>
      </c>
      <c r="C34" s="14" t="n">
        <v>34571.32104</v>
      </c>
      <c r="D34" s="16" t="n">
        <v>0.1066091934291973</v>
      </c>
      <c r="E34" s="16" t="n">
        <v>0.1357514792899408</v>
      </c>
    </row>
    <row r="35">
      <c r="A35" s="13" t="inlineStr">
        <is>
          <t>South America</t>
        </is>
      </c>
      <c r="B35" s="14" t="n">
        <v>617223.67788</v>
      </c>
      <c r="C35" s="14" t="n">
        <v>28090.51788</v>
      </c>
      <c r="D35" s="16" t="n">
        <v>0.04551108275120536</v>
      </c>
      <c r="E35" s="16" t="n">
        <v>0.1838313253012048</v>
      </c>
    </row>
    <row r="36">
      <c r="A36" s="13" t="inlineStr">
        <is>
          <t>Southern Africa</t>
        </is>
      </c>
      <c r="B36" s="14" t="n">
        <v>105191.76</v>
      </c>
      <c r="C36" s="14" t="n">
        <v>24158.55</v>
      </c>
      <c r="D36" s="16" t="n">
        <v>0.229662000141456</v>
      </c>
      <c r="E36" s="16" t="n">
        <v>0</v>
      </c>
    </row>
    <row r="37">
      <c r="A37" s="13" t="inlineStr">
        <is>
          <t>Eastern Africa</t>
        </is>
      </c>
      <c r="B37" s="14" t="n">
        <v>127856.019</v>
      </c>
      <c r="C37" s="14" t="n">
        <v>21900.909</v>
      </c>
      <c r="D37" s="16" t="n">
        <v>0.1712935313588952</v>
      </c>
      <c r="E37" s="16" t="n">
        <v>0.1171703296703297</v>
      </c>
    </row>
    <row r="38">
      <c r="A38" s="13" t="inlineStr">
        <is>
          <t>Southeastern Asia</t>
        </is>
      </c>
      <c r="B38" s="14" t="n">
        <v>884423.169</v>
      </c>
      <c r="C38" s="14" t="n">
        <v>17852.329</v>
      </c>
      <c r="D38" s="16" t="n">
        <v>0.02018527965542251</v>
      </c>
      <c r="E38" s="16" t="n">
        <v>0.2720773410035155</v>
      </c>
    </row>
    <row r="39">
      <c r="A39" s="13" t="inlineStr">
        <is>
          <t>Canada</t>
        </is>
      </c>
      <c r="B39" s="14" t="n">
        <v>66928.17</v>
      </c>
      <c r="C39" s="14" t="n">
        <v>17817.39</v>
      </c>
      <c r="D39" s="16" t="n">
        <v>0.2662166020675599</v>
      </c>
      <c r="E39" s="16" t="n">
        <v>0</v>
      </c>
    </row>
    <row r="40">
      <c r="A40" s="13" t="inlineStr">
        <is>
          <t>Central Asia</t>
        </is>
      </c>
      <c r="B40" s="14" t="n">
        <v>19311.459</v>
      </c>
      <c r="C40" s="14" t="n">
        <v>-7282.011</v>
      </c>
      <c r="D40" s="16" t="n">
        <v>-0.377082384091228</v>
      </c>
      <c r="E40" s="16" t="n">
        <v>0.4161290322580645</v>
      </c>
    </row>
    <row r="41">
      <c r="A41" s="13" t="inlineStr">
        <is>
          <t>Western Africa</t>
        </is>
      </c>
      <c r="B41" s="14" t="n">
        <v>173878.812</v>
      </c>
      <c r="C41" s="14" t="n">
        <v>-50407.788</v>
      </c>
      <c r="D41" s="16" t="n">
        <v>-0.2899018426695945</v>
      </c>
      <c r="E41" s="16" t="n">
        <v>0.4339041095890411</v>
      </c>
    </row>
    <row r="42">
      <c r="A42" s="13" t="inlineStr">
        <is>
          <t>Western Asia</t>
        </is>
      </c>
      <c r="B42" s="14" t="n">
        <v>317106.96</v>
      </c>
      <c r="C42" s="14" t="n">
        <v>-53921.67</v>
      </c>
      <c r="D42" s="16" t="n">
        <v>-0.1700425307599682</v>
      </c>
      <c r="E42" s="16" t="n">
        <v>0.3527868852459016</v>
      </c>
    </row>
    <row r="45">
      <c r="A45" s="11" t="inlineStr">
        <is>
          <t>Profit by category</t>
        </is>
      </c>
    </row>
    <row r="46">
      <c r="A46" s="12" t="inlineStr">
        <is>
          <t>Category</t>
        </is>
      </c>
      <c r="B46" s="12" t="inlineStr">
        <is>
          <t>Sales</t>
        </is>
      </c>
      <c r="C46" s="12" t="inlineStr">
        <is>
          <t>Profit</t>
        </is>
      </c>
      <c r="D46" s="12" t="inlineStr">
        <is>
          <t>Margin</t>
        </is>
      </c>
      <c r="E46" s="12" t="inlineStr">
        <is>
          <t>Avg discount</t>
        </is>
      </c>
    </row>
    <row r="47">
      <c r="A47" s="13" t="inlineStr">
        <is>
          <t>Furniture</t>
        </is>
      </c>
      <c r="B47" s="14" t="n">
        <v>4110451.8983</v>
      </c>
      <c r="C47" s="14" t="n">
        <v>285082.7302</v>
      </c>
      <c r="D47" s="16" t="n">
        <v>0.06935556898692927</v>
      </c>
      <c r="E47" s="16" t="n">
        <v>0.167974645030426</v>
      </c>
    </row>
    <row r="48">
      <c r="A48" s="13" t="inlineStr">
        <is>
          <t>Office Supplies</t>
        </is>
      </c>
      <c r="B48" s="14" t="n">
        <v>3787492.5135</v>
      </c>
      <c r="C48" s="14" t="n">
        <v>518595.8279</v>
      </c>
      <c r="D48" s="16" t="n">
        <v>0.1369232615118145</v>
      </c>
      <c r="E48" s="16" t="n">
        <v>0.1374601297580619</v>
      </c>
    </row>
    <row r="49">
      <c r="A49" s="13" t="inlineStr">
        <is>
          <t>Technology</t>
        </is>
      </c>
      <c r="B49" s="14" t="n">
        <v>4744557.49808</v>
      </c>
      <c r="C49" s="14" t="n">
        <v>663778.73318</v>
      </c>
      <c r="D49" s="16" t="n">
        <v>0.1399031908557572</v>
      </c>
      <c r="E49" s="16" t="n">
        <v>0.1353424711566907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2026-10-29T04:36:18Z</dcterms:created>
  <dcterms:modified xmlns:dcterms="http://purl.org/dc/terms/" xmlns:xsi="http://www.w3.org/2001/XMLSchema-instance" xsi:type="dcterms:W3CDTF">2026-10-29T04:36:18Z</dcterms:modified>
</cp:coreProperties>
</file>